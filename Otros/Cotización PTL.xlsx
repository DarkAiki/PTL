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PTL\"/>
    </mc:Choice>
  </mc:AlternateContent>
  <xr:revisionPtr revIDLastSave="0" documentId="8_{345488BD-E1EC-4FC9-A4CD-2F83915FF6C2}" xr6:coauthVersionLast="47" xr6:coauthVersionMax="47" xr10:uidLastSave="{00000000-0000-0000-0000-000000000000}"/>
  <bookViews>
    <workbookView xWindow="-120" yWindow="-120" windowWidth="20730" windowHeight="11040" xr2:uid="{3502BB8C-90C7-4866-8511-37128684EA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D18" i="1"/>
  <c r="C18" i="1"/>
  <c r="E18" i="1"/>
  <c r="D9" i="1"/>
  <c r="E9" i="1"/>
  <c r="C9" i="1"/>
  <c r="D16" i="1"/>
  <c r="D15" i="1"/>
  <c r="D5" i="1"/>
</calcChain>
</file>

<file path=xl/sharedStrings.xml><?xml version="1.0" encoding="utf-8"?>
<sst xmlns="http://schemas.openxmlformats.org/spreadsheetml/2006/main" count="39" uniqueCount="33">
  <si>
    <t>Materiales</t>
  </si>
  <si>
    <t>Display</t>
  </si>
  <si>
    <t>Boton LED</t>
  </si>
  <si>
    <t>Boton (Normal)</t>
  </si>
  <si>
    <t>LED</t>
  </si>
  <si>
    <t>Porta LED</t>
  </si>
  <si>
    <t>Circuito Integrado</t>
  </si>
  <si>
    <t>Cable</t>
  </si>
  <si>
    <t>Descripción</t>
  </si>
  <si>
    <t>Botón pulsador NA, con luz LED roja, 0.75x1 Pulgada</t>
  </si>
  <si>
    <t>Led de alta luminosidad, maximo 20mA, color verde</t>
  </si>
  <si>
    <t>Porta Led de 10mm</t>
  </si>
  <si>
    <t>Expansor PCF8574 E/S I2C</t>
  </si>
  <si>
    <t>Placa fenolica</t>
  </si>
  <si>
    <t>Cantidad</t>
  </si>
  <si>
    <t>Costo proveedor</t>
  </si>
  <si>
    <t>Costo aprox</t>
  </si>
  <si>
    <t>Display modelo ht16k33 I2C, 4 digitos, 1 pulgada de alto</t>
  </si>
  <si>
    <t>Botón pulsador NA cuadrado, 16mm / 1/2 pulgada, color blanco</t>
  </si>
  <si>
    <t>Fuente de alimentación</t>
  </si>
  <si>
    <t>Entrada: 110v - 220v AC Salida: 5VDC a 10A 50W</t>
  </si>
  <si>
    <t>Cable ribbon</t>
  </si>
  <si>
    <t>Calibre 18 AWG</t>
  </si>
  <si>
    <t>Cable plano 4 hilos</t>
  </si>
  <si>
    <t>Conectores</t>
  </si>
  <si>
    <t>ConectoresJST-XH de 4 pines, para el cable ribbon</t>
  </si>
  <si>
    <t>PBC (Grabada y perforada)</t>
  </si>
  <si>
    <t>Piezas Unicas</t>
  </si>
  <si>
    <t>Total</t>
  </si>
  <si>
    <t>Piezas por Salida (Destino / O.V.)</t>
  </si>
  <si>
    <t>Total (10 Salidas + CPU)</t>
  </si>
  <si>
    <t>Estimado</t>
  </si>
  <si>
    <t>Cotizado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</si>
</sst>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right"/>
    </xf>
    <xf numFmtId="44" fontId="0" fillId="0" borderId="0" xfId="1" applyFont="1"/>
    <xf numFmtId="44" fontId="0" fillId="4" borderId="2" xfId="1" applyFont="1" applyFill="1" applyBorder="1"/>
    <xf numFmtId="0" fontId="0" fillId="5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AEBA5-35FD-423A-BA19-FFBF2185A54A}" name="Tabla1" displayName="Tabla1" ref="A2:E9" totalsRowShown="0">
  <autoFilter ref="A2:E9" xr:uid="{BA4AEBA5-35FD-423A-BA19-FFBF2185A54A}"/>
  <tableColumns count="5">
    <tableColumn id="1" xr3:uid="{7993A4B1-C726-4B91-8D5C-A2EC9E078BF1}" name="Materiales"/>
    <tableColumn id="2" xr3:uid="{699C18C6-ACD0-43F1-847A-D9CA4CBDDF12}" name="Descripción"/>
    <tableColumn id="3" xr3:uid="{3AAAFBC1-DD4B-4BBD-8B41-A33B8BBC7FA3}" name="Cantidad"/>
    <tableColumn id="4" xr3:uid="{5504EB19-4375-4179-87C1-9EDE807FD07A}" name="Costo aprox" dataCellStyle="Moneda"/>
    <tableColumn id="5" xr3:uid="{16BDE91A-1F76-42D8-892F-1953FB784F77}" name="Costo proveedor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4B5D7D-6157-45DC-BF74-B4D27AEA0655}" name="Tabla2" displayName="Tabla2" ref="A12:E17" totalsRowShown="0">
  <autoFilter ref="A12:E17" xr:uid="{B54B5D7D-6157-45DC-BF74-B4D27AEA0655}"/>
  <tableColumns count="5">
    <tableColumn id="1" xr3:uid="{C3298488-245A-408B-B668-F2AD851A537D}" name="Materiales"/>
    <tableColumn id="2" xr3:uid="{55F85516-1C56-4FCA-AAF1-8067B77FF9A2}" name="Descripción"/>
    <tableColumn id="3" xr3:uid="{E7F90AAF-F649-48AF-A802-44098AD42285}" name="Cantidad"/>
    <tableColumn id="4" xr3:uid="{8363A037-97D2-45AD-B2F5-A5567932585B}" name="Costo aprox" dataCellStyle="Moneda"/>
    <tableColumn id="5" xr3:uid="{625539AF-7E2B-4FBC-AE44-4FB054538575}" name="Costo proveedor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76AEF-8930-4D28-B5F3-B2A3EA47F29C}" name="Tabla3" displayName="Tabla3" ref="G3:H4" totalsRowShown="0" dataDxfId="0" dataCellStyle="Moneda">
  <autoFilter ref="G3:H4" xr:uid="{47C76AEF-8930-4D28-B5F3-B2A3EA47F29C}"/>
  <tableColumns count="2">
    <tableColumn id="1" xr3:uid="{EE80F65C-4304-4BBC-A43F-399F84282EB7}" name="Estimado" dataDxfId="2" dataCellStyle="Moneda">
      <calculatedColumnFormula>(D9*10)+D18</calculatedColumnFormula>
    </tableColumn>
    <tableColumn id="2" xr3:uid="{C50E9B31-6DCF-41EF-912D-542B5A392CB2}" name="Cotizado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C37E-B7C0-4C57-854B-28D57ACF82C4}">
  <dimension ref="A1:H18"/>
  <sheetViews>
    <sheetView tabSelected="1" zoomScale="103" workbookViewId="0">
      <selection activeCell="B19" sqref="B19"/>
    </sheetView>
  </sheetViews>
  <sheetFormatPr baseColWidth="10" defaultRowHeight="15" x14ac:dyDescent="0.25"/>
  <cols>
    <col min="1" max="1" width="24.7109375" bestFit="1" customWidth="1"/>
    <col min="2" max="2" width="58.42578125" bestFit="1" customWidth="1"/>
    <col min="3" max="3" width="20" bestFit="1" customWidth="1"/>
    <col min="4" max="4" width="13.5703125" customWidth="1"/>
    <col min="5" max="5" width="17.7109375" customWidth="1"/>
  </cols>
  <sheetData>
    <row r="1" spans="1:8" x14ac:dyDescent="0.25">
      <c r="A1" s="1" t="s">
        <v>29</v>
      </c>
      <c r="B1" s="1"/>
      <c r="C1" s="1"/>
      <c r="D1" s="1"/>
      <c r="E1" s="1"/>
    </row>
    <row r="2" spans="1:8" x14ac:dyDescent="0.25">
      <c r="A2" t="s">
        <v>0</v>
      </c>
      <c r="B2" t="s">
        <v>8</v>
      </c>
      <c r="C2" t="s">
        <v>14</v>
      </c>
      <c r="D2" t="s">
        <v>16</v>
      </c>
      <c r="E2" t="s">
        <v>15</v>
      </c>
      <c r="G2" s="6" t="s">
        <v>30</v>
      </c>
      <c r="H2" s="6"/>
    </row>
    <row r="3" spans="1:8" x14ac:dyDescent="0.25">
      <c r="A3" t="s">
        <v>1</v>
      </c>
      <c r="B3" t="s">
        <v>17</v>
      </c>
      <c r="C3">
        <v>1</v>
      </c>
      <c r="D3" s="4">
        <v>500</v>
      </c>
      <c r="E3" s="4"/>
      <c r="G3" t="s">
        <v>31</v>
      </c>
      <c r="H3" t="s">
        <v>32</v>
      </c>
    </row>
    <row r="4" spans="1:8" x14ac:dyDescent="0.25">
      <c r="A4" t="s">
        <v>2</v>
      </c>
      <c r="B4" t="s">
        <v>9</v>
      </c>
      <c r="C4">
        <v>1</v>
      </c>
      <c r="D4" s="4">
        <v>60</v>
      </c>
      <c r="E4" s="4"/>
      <c r="G4" s="4">
        <f>(D9*10)+D18</f>
        <v>7900</v>
      </c>
      <c r="H4" s="4"/>
    </row>
    <row r="5" spans="1:8" x14ac:dyDescent="0.25">
      <c r="A5" t="s">
        <v>3</v>
      </c>
      <c r="B5" t="s">
        <v>18</v>
      </c>
      <c r="C5">
        <v>2</v>
      </c>
      <c r="D5" s="4">
        <f>C5*30</f>
        <v>60</v>
      </c>
      <c r="E5" s="4"/>
    </row>
    <row r="6" spans="1:8" x14ac:dyDescent="0.25">
      <c r="A6" t="s">
        <v>4</v>
      </c>
      <c r="B6" t="s">
        <v>10</v>
      </c>
      <c r="C6">
        <v>1</v>
      </c>
      <c r="D6" s="4">
        <v>20</v>
      </c>
      <c r="E6" s="4"/>
    </row>
    <row r="7" spans="1:8" x14ac:dyDescent="0.25">
      <c r="A7" t="s">
        <v>5</v>
      </c>
      <c r="B7" t="s">
        <v>11</v>
      </c>
      <c r="C7">
        <v>1</v>
      </c>
      <c r="D7" s="4">
        <v>15</v>
      </c>
      <c r="E7" s="4"/>
    </row>
    <row r="8" spans="1:8" x14ac:dyDescent="0.25">
      <c r="A8" t="s">
        <v>26</v>
      </c>
      <c r="B8" t="s">
        <v>13</v>
      </c>
      <c r="C8">
        <v>1</v>
      </c>
      <c r="D8" s="5"/>
      <c r="E8" s="5"/>
    </row>
    <row r="9" spans="1:8" x14ac:dyDescent="0.25">
      <c r="B9" s="3" t="s">
        <v>28</v>
      </c>
      <c r="C9">
        <f>SUM(C3:C8)</f>
        <v>7</v>
      </c>
      <c r="D9" s="4">
        <f>SUM(D3:D8)</f>
        <v>655</v>
      </c>
      <c r="E9" s="4">
        <f>SUM(E3:E8)</f>
        <v>0</v>
      </c>
    </row>
    <row r="11" spans="1:8" x14ac:dyDescent="0.25">
      <c r="A11" s="2" t="s">
        <v>27</v>
      </c>
      <c r="B11" s="2"/>
      <c r="C11" s="2"/>
      <c r="D11" s="2"/>
      <c r="E11" s="2"/>
    </row>
    <row r="12" spans="1:8" x14ac:dyDescent="0.25">
      <c r="A12" t="s">
        <v>0</v>
      </c>
      <c r="B12" t="s">
        <v>8</v>
      </c>
      <c r="C12" t="s">
        <v>14</v>
      </c>
      <c r="D12" t="s">
        <v>16</v>
      </c>
      <c r="E12" t="s">
        <v>15</v>
      </c>
    </row>
    <row r="13" spans="1:8" x14ac:dyDescent="0.25">
      <c r="A13" t="s">
        <v>6</v>
      </c>
      <c r="B13" t="s">
        <v>12</v>
      </c>
      <c r="C13">
        <v>1</v>
      </c>
      <c r="D13" s="4">
        <v>300</v>
      </c>
      <c r="E13" s="4"/>
    </row>
    <row r="14" spans="1:8" x14ac:dyDescent="0.25">
      <c r="A14" t="s">
        <v>24</v>
      </c>
      <c r="B14" t="s">
        <v>25</v>
      </c>
      <c r="C14">
        <v>30</v>
      </c>
      <c r="D14" s="4">
        <v>300</v>
      </c>
      <c r="E14" s="4"/>
    </row>
    <row r="15" spans="1:8" x14ac:dyDescent="0.25">
      <c r="A15" t="s">
        <v>21</v>
      </c>
      <c r="B15" t="s">
        <v>23</v>
      </c>
      <c r="C15">
        <v>2</v>
      </c>
      <c r="D15" s="4">
        <f>C15*200</f>
        <v>400</v>
      </c>
      <c r="E15" s="4"/>
    </row>
    <row r="16" spans="1:8" x14ac:dyDescent="0.25">
      <c r="A16" t="s">
        <v>7</v>
      </c>
      <c r="B16" t="s">
        <v>22</v>
      </c>
      <c r="C16">
        <v>10</v>
      </c>
      <c r="D16" s="4">
        <f>C16*(10)</f>
        <v>100</v>
      </c>
      <c r="E16" s="4"/>
    </row>
    <row r="17" spans="1:5" x14ac:dyDescent="0.25">
      <c r="A17" t="s">
        <v>19</v>
      </c>
      <c r="B17" t="s">
        <v>20</v>
      </c>
      <c r="C17">
        <v>1</v>
      </c>
      <c r="D17" s="4">
        <v>250</v>
      </c>
      <c r="E17" s="4"/>
    </row>
    <row r="18" spans="1:5" x14ac:dyDescent="0.25">
      <c r="B18" s="3" t="s">
        <v>28</v>
      </c>
      <c r="C18">
        <f>SUM(C12:C17)</f>
        <v>44</v>
      </c>
      <c r="D18" s="4">
        <f>SUM(D12:D17)</f>
        <v>1350</v>
      </c>
      <c r="E18" s="4">
        <f>SUM(E12:E17)</f>
        <v>0</v>
      </c>
    </row>
  </sheetData>
  <mergeCells count="3">
    <mergeCell ref="A11:E11"/>
    <mergeCell ref="A1:E1"/>
    <mergeCell ref="G2:H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2025-10-08T20:55:46Z</dcterms:created>
  <dcterms:modified xsi:type="dcterms:W3CDTF">2025-10-08T22:00:43Z</dcterms:modified>
</cp:coreProperties>
</file>